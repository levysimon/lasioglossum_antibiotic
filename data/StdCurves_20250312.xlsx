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oanitoliberti/Desktop/BiologyMedicineStudyWeek_Analyses/"/>
    </mc:Choice>
  </mc:AlternateContent>
  <xr:revisionPtr revIDLastSave="0" documentId="13_ncr:1_{24006F64-D964-8A44-A54B-2783D9BE8196}" xr6:coauthVersionLast="47" xr6:coauthVersionMax="47" xr10:uidLastSave="{00000000-0000-0000-0000-000000000000}"/>
  <bookViews>
    <workbookView xWindow="3940" yWindow="760" windowWidth="25120" windowHeight="15580" xr2:uid="{00000000-000D-0000-FFFF-FFFF00000000}"/>
  </bookViews>
  <sheets>
    <sheet name="Standard curves" sheetId="2" r:id="rId1"/>
    <sheet name="SYBR" sheetId="1" r:id="rId2"/>
  </sheets>
  <externalReferences>
    <externalReference r:id="rId3"/>
  </externalReferenc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3" i="1" l="1" a="1"/>
  <c r="F13" i="1" s="1"/>
  <c r="F17" i="1" a="1"/>
  <c r="F17" i="1" s="1"/>
  <c r="E17" i="1" a="1"/>
  <c r="E17" i="1" s="1"/>
  <c r="D17" i="1" a="1"/>
  <c r="D17" i="1" s="1"/>
  <c r="C17" i="1" a="1"/>
  <c r="C17" i="1" s="1"/>
  <c r="C16" i="1"/>
  <c r="K14" i="1"/>
  <c r="F14" i="1" a="1"/>
  <c r="F14" i="1" s="1"/>
  <c r="E14" i="1" a="1"/>
  <c r="E14" i="1" s="1"/>
  <c r="D14" i="1" a="1"/>
  <c r="D14" i="1" s="1"/>
  <c r="C14" i="1"/>
  <c r="C15" i="1" s="1"/>
  <c r="C14" i="1" a="1"/>
  <c r="E13" i="1"/>
  <c r="E13" i="1" a="1"/>
  <c r="D13" i="1" a="1"/>
  <c r="D13" i="1" s="1"/>
  <c r="C13" i="1" a="1"/>
  <c r="C13" i="1" s="1"/>
  <c r="L9" i="1"/>
  <c r="K9" i="1"/>
  <c r="J9" i="1"/>
  <c r="I9" i="1"/>
  <c r="H9" i="1"/>
  <c r="G9" i="1"/>
  <c r="L8" i="1"/>
  <c r="K8" i="1"/>
  <c r="J8" i="1"/>
  <c r="I8" i="1"/>
  <c r="H8" i="1"/>
  <c r="G8" i="1"/>
  <c r="L7" i="1"/>
  <c r="K7" i="1"/>
  <c r="J7" i="1"/>
  <c r="I7" i="1"/>
  <c r="H7" i="1"/>
  <c r="G7" i="1"/>
  <c r="L6" i="1"/>
  <c r="K6" i="1"/>
  <c r="J6" i="1"/>
  <c r="I6" i="1"/>
  <c r="H6" i="1"/>
  <c r="G6" i="1"/>
  <c r="L5" i="1"/>
  <c r="K5" i="1"/>
  <c r="J5" i="1"/>
  <c r="I5" i="1"/>
  <c r="H5" i="1"/>
  <c r="G5" i="1"/>
  <c r="L4" i="1"/>
  <c r="K4" i="1"/>
  <c r="J4" i="1"/>
  <c r="I4" i="1"/>
  <c r="H4" i="1"/>
  <c r="G4" i="1"/>
  <c r="L3" i="1"/>
  <c r="K3" i="1"/>
  <c r="J3" i="1"/>
  <c r="I3" i="1"/>
  <c r="H3" i="1"/>
  <c r="G3" i="1"/>
  <c r="E15" i="1" l="1"/>
  <c r="E16" i="1"/>
  <c r="D15" i="1"/>
  <c r="D16" i="1"/>
  <c r="F15" i="1"/>
  <c r="F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<sst xmlns="http://schemas.openxmlformats.org/spreadsheetml/2006/main" count="48" uniqueCount="40">
  <si>
    <t>actin</t>
  </si>
  <si>
    <t>UV</t>
  </si>
  <si>
    <t>NA</t>
  </si>
  <si>
    <t>THRESHOLD</t>
  </si>
  <si>
    <t>NTC - H2O</t>
  </si>
  <si>
    <t>INTERCEPT</t>
  </si>
  <si>
    <t>SLOPE</t>
  </si>
  <si>
    <t>EFFICIENCY (%)</t>
  </si>
  <si>
    <t>Efficiency</t>
  </si>
  <si>
    <t>R2</t>
  </si>
  <si>
    <t>note</t>
  </si>
  <si>
    <t>sample 529</t>
  </si>
  <si>
    <t>primer set</t>
  </si>
  <si>
    <t>0113/0114</t>
  </si>
  <si>
    <t>0356/0772</t>
  </si>
  <si>
    <t>date performed</t>
  </si>
  <si>
    <t>Target gene</t>
  </si>
  <si>
    <t>Target</t>
  </si>
  <si>
    <t>Intercept</t>
  </si>
  <si>
    <t>Slope</t>
  </si>
  <si>
    <t>Threshold</t>
  </si>
  <si>
    <t>LOD #copy</t>
  </si>
  <si>
    <t>#16S/18S loci</t>
  </si>
  <si>
    <t>LOD Cell</t>
  </si>
  <si>
    <t>Primers</t>
  </si>
  <si>
    <t>Sample type</t>
  </si>
  <si>
    <t>DNA</t>
  </si>
  <si>
    <t>universal bacterial 16S rRNA gene</t>
  </si>
  <si>
    <t>univ</t>
  </si>
  <si>
    <t>Threshold / LOD Cq - quantification cycle close to the threshold of detection, last reliably detected amplification in dilution series of plasmid</t>
  </si>
  <si>
    <t>LOD #copy - number of plasmid copies close to the threshold of detection in 1 qPCR reaction</t>
  </si>
  <si>
    <t>LOD cell - number of cells close to the threshold of detection, calculated when divided by #16S loci and multiplied by total sample volume (200 ul)</t>
  </si>
  <si>
    <t>Plasmid copies</t>
  </si>
  <si>
    <t>Ga</t>
  </si>
  <si>
    <t>Sa</t>
  </si>
  <si>
    <t>SA</t>
  </si>
  <si>
    <t>Red color means they still need to be done on our machine</t>
  </si>
  <si>
    <t>Na</t>
  </si>
  <si>
    <t>0115/0115</t>
  </si>
  <si>
    <t>B. terrestris actin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</si>
</sst>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"/>
    <numFmt numFmtId="166" formatCode="0.00000"/>
    <numFmt numFmtId="167" formatCode="#,##0.000000"/>
    <numFmt numFmtId="168" formatCode="0.E+00"/>
    <numFmt numFmtId="169" formatCode="0.0000000000000"/>
    <numFmt numFmtId="170" formatCode="0.00000000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rgb="FF000000"/>
      <name val="Calibri"/>
      <family val="2"/>
      <charset val="1"/>
    </font>
    <font>
      <sz val="8.25"/>
      <name val="Microsoft Sans Serif"/>
      <family val="2"/>
    </font>
    <font>
      <b/>
      <sz val="12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rgb="FFD9D9D9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167" fontId="0" fillId="0" borderId="0" xfId="0" applyNumberFormat="1"/>
    <xf numFmtId="0" fontId="3" fillId="0" borderId="0" xfId="3" applyFont="1"/>
    <xf numFmtId="0" fontId="3" fillId="0" borderId="0" xfId="0" applyFont="1"/>
    <xf numFmtId="168" fontId="3" fillId="0" borderId="0" xfId="2" applyNumberFormat="1" applyFont="1"/>
    <xf numFmtId="0" fontId="3" fillId="2" borderId="0" xfId="3" applyFont="1" applyFill="1"/>
    <xf numFmtId="0" fontId="3" fillId="2" borderId="0" xfId="0" applyFont="1" applyFill="1"/>
    <xf numFmtId="0" fontId="4" fillId="0" borderId="0" xfId="0" applyFont="1" applyAlignment="1">
      <alignment vertical="center"/>
    </xf>
    <xf numFmtId="0" fontId="0" fillId="2" borderId="0" xfId="0" applyFill="1"/>
    <xf numFmtId="167" fontId="0" fillId="2" borderId="0" xfId="0" applyNumberFormat="1" applyFill="1"/>
    <xf numFmtId="169" fontId="0" fillId="2" borderId="0" xfId="0" applyNumberFormat="1" applyFill="1"/>
    <xf numFmtId="0" fontId="0" fillId="0" borderId="0" xfId="0" applyAlignment="1">
      <alignment wrapText="1"/>
    </xf>
    <xf numFmtId="0" fontId="5" fillId="0" borderId="0" xfId="3" applyFont="1"/>
    <xf numFmtId="0" fontId="0" fillId="3" borderId="0" xfId="0" applyFill="1"/>
    <xf numFmtId="0" fontId="2" fillId="2" borderId="0" xfId="3" applyFill="1"/>
    <xf numFmtId="0" fontId="2" fillId="0" borderId="0" xfId="3"/>
    <xf numFmtId="165" fontId="2" fillId="2" borderId="0" xfId="3" applyNumberFormat="1" applyFill="1"/>
    <xf numFmtId="165" fontId="2" fillId="0" borderId="0" xfId="3" applyNumberFormat="1"/>
    <xf numFmtId="164" fontId="2" fillId="2" borderId="0" xfId="3" applyNumberFormat="1" applyFill="1"/>
    <xf numFmtId="164" fontId="2" fillId="0" borderId="0" xfId="3" applyNumberFormat="1"/>
    <xf numFmtId="166" fontId="3" fillId="0" borderId="0" xfId="3" applyNumberFormat="1" applyFont="1"/>
    <xf numFmtId="0" fontId="0" fillId="2" borderId="0" xfId="3" applyFont="1" applyFill="1"/>
    <xf numFmtId="170" fontId="0" fillId="0" borderId="0" xfId="0" applyNumberFormat="1"/>
  </cellXfs>
  <cellStyles count="4">
    <cellStyle name="Explanatory Text" xfId="3" builtinId="53"/>
    <cellStyle name="Normal" xfId="0" builtinId="0"/>
    <cellStyle name="Normal 3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strike="noStrike" spc="-1">
                <a:latin typeface="Arial"/>
              </a:defRPr>
            </a:pPr>
            <a:r>
              <a:rPr lang="en-US" sz="1300" b="0" strike="noStrike" spc="-1">
                <a:latin typeface="Arial"/>
              </a:rPr>
              <a:t>UV std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0-5389-0542-94AD-52EF26F64A58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>
                <a:solidFill>
                  <a:srgbClr val="004586"/>
                </a:solidFill>
              </a:ln>
            </c:spPr>
            <c:trendlineType val="log"/>
            <c:dispRSqr val="1"/>
            <c:dispEq val="0"/>
            <c:trendlineLbl>
              <c:numFmt formatCode="General" sourceLinked="0"/>
            </c:trendlineLbl>
          </c:trendline>
          <c:xVal>
            <c:numRef>
              <c:f>[1]Berta_new!$B$3:$B$9</c:f>
              <c:numCache>
                <c:formatCode>0.E+00</c:formatCode>
                <c:ptCount val="7"/>
                <c:pt idx="0">
                  <c:v>100000000</c:v>
                </c:pt>
                <c:pt idx="1">
                  <c:v>10000000</c:v>
                </c:pt>
                <c:pt idx="2">
                  <c:v>1000000</c:v>
                </c:pt>
                <c:pt idx="3">
                  <c:v>100000</c:v>
                </c:pt>
                <c:pt idx="4">
                  <c:v>10000</c:v>
                </c:pt>
                <c:pt idx="5">
                  <c:v>1000</c:v>
                </c:pt>
                <c:pt idx="6">
                  <c:v>100</c:v>
                </c:pt>
              </c:numCache>
            </c:numRef>
          </c:xVal>
          <c:yVal>
            <c:numRef>
              <c:f>[1]Berta_new!$F$3:$F$9</c:f>
              <c:numCache>
                <c:formatCode>General</c:formatCode>
                <c:ptCount val="7"/>
                <c:pt idx="0">
                  <c:v>11.155907031593669</c:v>
                </c:pt>
                <c:pt idx="1">
                  <c:v>14.307633262222167</c:v>
                </c:pt>
                <c:pt idx="2">
                  <c:v>17.274369159454299</c:v>
                </c:pt>
                <c:pt idx="3">
                  <c:v>20.556595801103366</c:v>
                </c:pt>
                <c:pt idx="4">
                  <c:v>23.757771279719567</c:v>
                </c:pt>
                <c:pt idx="5">
                  <c:v>27.289448773387036</c:v>
                </c:pt>
                <c:pt idx="6">
                  <c:v>30.136520662862836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89-0542-94AD-52EF26F64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74109"/>
        <c:axId val="39449262"/>
      </c:scatterChart>
      <c:valAx>
        <c:axId val="27074109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Copy number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CH"/>
          </a:p>
        </c:txPr>
        <c:crossAx val="39449262"/>
        <c:crossesAt val="0"/>
        <c:crossBetween val="midCat"/>
      </c:valAx>
      <c:valAx>
        <c:axId val="3944926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en-US" sz="900" b="0" strike="noStrike" spc="-1">
                    <a:latin typeface="Arial"/>
                  </a:rPr>
                  <a:t>Ct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#,##0.000000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CH"/>
          </a:p>
        </c:txPr>
        <c:crossAx val="27074109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span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6840</xdr:colOff>
      <xdr:row>13</xdr:row>
      <xdr:rowOff>80280</xdr:rowOff>
    </xdr:from>
    <xdr:to>
      <xdr:col>10</xdr:col>
      <xdr:colOff>1030624</xdr:colOff>
      <xdr:row>29</xdr:row>
      <xdr:rowOff>149760</xdr:rowOff>
    </xdr:to>
    <xdr:graphicFrame macro="">
      <xdr:nvGraphicFramePr>
        <xdr:cNvPr id="3" name="Graphique 4">
          <a:extLst>
            <a:ext uri="{FF2B5EF4-FFF2-40B4-BE49-F238E27FC236}">
              <a16:creationId xmlns:a16="http://schemas.microsoft.com/office/drawing/2014/main" id="{11FDCEA9-1571-DE4B-80F6-A18F95156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anitoliberti/Desktop/BiologyMedicineStudyWeek_Analyses/StdCurves.xlsx" TargetMode="External"/><Relationship Id="rId1" Type="http://schemas.openxmlformats.org/officeDocument/2006/relationships/externalLinkPath" Target="StdCurv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ndard Curves Bellinda"/>
      <sheetName val="Bellinda_SYBR"/>
      <sheetName val="Berta_SYBR"/>
      <sheetName val="Berta_new"/>
      <sheetName val="Berta_TaqMan_mix1"/>
      <sheetName val="Berta_Taqman_mix2"/>
    </sheetNames>
    <sheetDataSet>
      <sheetData sheetId="0"/>
      <sheetData sheetId="1"/>
      <sheetData sheetId="2"/>
      <sheetData sheetId="3">
        <row r="3">
          <cell r="B3">
            <v>100000000</v>
          </cell>
          <cell r="F3">
            <v>11.155907031593669</v>
          </cell>
        </row>
        <row r="4">
          <cell r="B4">
            <v>10000000</v>
          </cell>
          <cell r="F4">
            <v>14.307633262222167</v>
          </cell>
        </row>
        <row r="5">
          <cell r="B5">
            <v>1000000</v>
          </cell>
          <cell r="F5">
            <v>17.274369159454299</v>
          </cell>
        </row>
        <row r="6">
          <cell r="B6">
            <v>100000</v>
          </cell>
          <cell r="F6">
            <v>20.556595801103366</v>
          </cell>
        </row>
        <row r="7">
          <cell r="B7">
            <v>10000</v>
          </cell>
          <cell r="F7">
            <v>23.757771279719567</v>
          </cell>
        </row>
        <row r="8">
          <cell r="B8">
            <v>1000</v>
          </cell>
          <cell r="F8">
            <v>27.289448773387036</v>
          </cell>
        </row>
        <row r="9">
          <cell r="B9">
            <v>100</v>
          </cell>
          <cell r="F9">
            <v>30.136520662862836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D18" sqref="D18"/>
    </sheetView>
  </sheetViews>
  <sheetFormatPr baseColWidth="10" defaultRowHeight="16" x14ac:dyDescent="0.2"/>
  <cols>
    <col min="1" max="1" width="33" customWidth="1"/>
    <col min="2" max="2" width="15.33203125" customWidth="1"/>
    <col min="8" max="8" width="12.33203125" customWidth="1"/>
  </cols>
  <sheetData>
    <row r="1" spans="1:11" x14ac:dyDescent="0.2">
      <c r="A1" t="s">
        <v>16</v>
      </c>
      <c r="B1" t="s">
        <v>17</v>
      </c>
      <c r="C1" t="s">
        <v>18</v>
      </c>
      <c r="D1" t="s">
        <v>19</v>
      </c>
      <c r="E1" t="s">
        <v>8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x14ac:dyDescent="0.2">
      <c r="A2" t="s">
        <v>39</v>
      </c>
      <c r="B2" t="s">
        <v>0</v>
      </c>
      <c r="J2" t="s">
        <v>13</v>
      </c>
      <c r="K2" t="s">
        <v>26</v>
      </c>
    </row>
    <row r="3" spans="1:11" x14ac:dyDescent="0.2">
      <c r="A3" t="s">
        <v>27</v>
      </c>
      <c r="B3" t="s">
        <v>28</v>
      </c>
      <c r="C3">
        <v>36.602048359406581</v>
      </c>
      <c r="D3">
        <v>-3.1924597870143754</v>
      </c>
      <c r="E3">
        <v>2.0570179814086784</v>
      </c>
      <c r="J3" t="s">
        <v>14</v>
      </c>
      <c r="K3" t="s">
        <v>26</v>
      </c>
    </row>
    <row r="5" spans="1:11" x14ac:dyDescent="0.2">
      <c r="A5" t="s">
        <v>29</v>
      </c>
    </row>
    <row r="6" spans="1:11" x14ac:dyDescent="0.2">
      <c r="A6" t="s">
        <v>30</v>
      </c>
    </row>
    <row r="7" spans="1:11" x14ac:dyDescent="0.2">
      <c r="A7" t="s">
        <v>31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"/>
  <sheetViews>
    <sheetView zoomScale="125" workbookViewId="0">
      <selection activeCell="F15" sqref="F15"/>
    </sheetView>
  </sheetViews>
  <sheetFormatPr baseColWidth="10" defaultRowHeight="16" x14ac:dyDescent="0.2"/>
  <cols>
    <col min="1" max="5" width="11" bestFit="1" customWidth="1"/>
    <col min="6" max="6" width="10.83203125" customWidth="1"/>
    <col min="7" max="7" width="13.33203125" customWidth="1"/>
    <col min="8" max="8" width="11" bestFit="1" customWidth="1"/>
    <col min="9" max="12" width="17.5" bestFit="1" customWidth="1"/>
    <col min="17" max="17" width="12" bestFit="1" customWidth="1"/>
  </cols>
  <sheetData>
    <row r="1" spans="1:17" x14ac:dyDescent="0.2">
      <c r="B1" t="s">
        <v>32</v>
      </c>
      <c r="C1" s="2" t="s">
        <v>0</v>
      </c>
      <c r="D1" s="2" t="s">
        <v>33</v>
      </c>
      <c r="E1" s="3" t="s">
        <v>34</v>
      </c>
      <c r="F1" s="3" t="s">
        <v>1</v>
      </c>
      <c r="I1" s="3" t="s">
        <v>33</v>
      </c>
      <c r="J1" s="3" t="s">
        <v>35</v>
      </c>
      <c r="K1" s="3" t="s">
        <v>1</v>
      </c>
      <c r="L1" s="3" t="s">
        <v>0</v>
      </c>
    </row>
    <row r="2" spans="1:17" x14ac:dyDescent="0.2">
      <c r="A2">
        <v>9</v>
      </c>
      <c r="B2" s="4">
        <v>1000000000</v>
      </c>
      <c r="C2" s="5"/>
      <c r="D2" s="5"/>
      <c r="E2" s="6"/>
      <c r="F2" s="7">
        <v>9.6106391199628902</v>
      </c>
      <c r="G2" s="8"/>
      <c r="H2" s="8"/>
      <c r="I2" s="6"/>
      <c r="J2" s="6"/>
      <c r="K2" s="6"/>
      <c r="L2" s="6"/>
      <c r="N2" s="6"/>
      <c r="O2" t="s">
        <v>36</v>
      </c>
    </row>
    <row r="3" spans="1:17" x14ac:dyDescent="0.2">
      <c r="A3">
        <v>8</v>
      </c>
      <c r="B3" s="4">
        <v>100000000</v>
      </c>
      <c r="C3" s="9">
        <v>9.4888086318969709</v>
      </c>
      <c r="D3" s="9">
        <v>11.7503318786621</v>
      </c>
      <c r="E3" s="9">
        <v>11.120181083679199</v>
      </c>
      <c r="F3" s="7">
        <v>11.155907031593669</v>
      </c>
      <c r="G3" s="9">
        <f>F4-F3</f>
        <v>3.1517262306284977</v>
      </c>
      <c r="H3" s="9">
        <f t="shared" ref="H3:H9" si="0">E4-E3</f>
        <v>2.6666736602783008</v>
      </c>
      <c r="I3" s="10">
        <f>D4-D3</f>
        <v>3.7211647033691992</v>
      </c>
      <c r="J3" s="10">
        <f>E4-E3</f>
        <v>2.6666736602783008</v>
      </c>
      <c r="K3" s="10">
        <f>F4-F3</f>
        <v>3.1517262306284977</v>
      </c>
      <c r="L3" s="10">
        <f>C4-C3</f>
        <v>3.5512886047363299</v>
      </c>
    </row>
    <row r="4" spans="1:17" x14ac:dyDescent="0.2">
      <c r="A4">
        <v>7</v>
      </c>
      <c r="B4" s="4">
        <v>10000000</v>
      </c>
      <c r="C4" s="9">
        <v>13.040097236633301</v>
      </c>
      <c r="D4" s="9">
        <v>15.4714965820313</v>
      </c>
      <c r="E4" s="9">
        <v>13.7868547439575</v>
      </c>
      <c r="F4" s="7">
        <v>14.307633262222167</v>
      </c>
      <c r="G4" s="9">
        <f>F5-F4</f>
        <v>2.966735897232132</v>
      </c>
      <c r="H4" s="9">
        <f t="shared" si="0"/>
        <v>3.8796148300170987</v>
      </c>
      <c r="I4" s="8">
        <f t="shared" ref="I4:K9" si="1">D5-D4</f>
        <v>5.0192203521728018</v>
      </c>
      <c r="J4" s="8">
        <f t="shared" si="1"/>
        <v>3.8796148300170987</v>
      </c>
      <c r="K4" s="8">
        <f t="shared" si="1"/>
        <v>2.966735897232132</v>
      </c>
      <c r="L4" s="10">
        <f t="shared" ref="L4:L9" si="2">C5-C4</f>
        <v>3.8939523696898988</v>
      </c>
    </row>
    <row r="5" spans="1:17" x14ac:dyDescent="0.2">
      <c r="A5">
        <v>6</v>
      </c>
      <c r="B5" s="4">
        <v>1000000</v>
      </c>
      <c r="C5" s="9">
        <v>16.9340496063232</v>
      </c>
      <c r="D5" s="9">
        <v>20.490716934204102</v>
      </c>
      <c r="E5" s="9">
        <v>17.666469573974599</v>
      </c>
      <c r="F5" s="7">
        <v>17.274369159454299</v>
      </c>
      <c r="G5" s="9">
        <f t="shared" ref="G5:G8" si="3">F6-F5</f>
        <v>3.2822266416490677</v>
      </c>
      <c r="H5" s="9">
        <f>E6-E5</f>
        <v>3.8190193176270029</v>
      </c>
      <c r="I5" s="8">
        <f t="shared" si="1"/>
        <v>4.6224060058593999</v>
      </c>
      <c r="J5" s="8">
        <f t="shared" si="1"/>
        <v>3.8190193176270029</v>
      </c>
      <c r="K5" s="8">
        <f t="shared" si="1"/>
        <v>3.2822266416490677</v>
      </c>
      <c r="L5" s="10">
        <f t="shared" si="2"/>
        <v>2.9867172241211009</v>
      </c>
    </row>
    <row r="6" spans="1:17" x14ac:dyDescent="0.2">
      <c r="A6">
        <v>5</v>
      </c>
      <c r="B6" s="4">
        <v>100000</v>
      </c>
      <c r="C6" s="9">
        <v>19.9207668304443</v>
      </c>
      <c r="D6" s="9">
        <v>25.113122940063501</v>
      </c>
      <c r="E6" s="9">
        <v>21.485488891601602</v>
      </c>
      <c r="F6" s="7">
        <v>20.556595801103366</v>
      </c>
      <c r="G6" s="9">
        <f t="shared" si="3"/>
        <v>3.2011754786162001</v>
      </c>
      <c r="H6" s="9">
        <f t="shared" si="0"/>
        <v>3.6065349578856996</v>
      </c>
      <c r="I6" s="8">
        <f t="shared" si="1"/>
        <v>4.3882274627684978</v>
      </c>
      <c r="J6" s="8">
        <f t="shared" si="1"/>
        <v>3.6065349578856996</v>
      </c>
      <c r="K6" s="8">
        <f t="shared" si="1"/>
        <v>3.2011754786162001</v>
      </c>
      <c r="L6" s="10">
        <f t="shared" si="2"/>
        <v>3.5454635620118005</v>
      </c>
    </row>
    <row r="7" spans="1:17" x14ac:dyDescent="0.2">
      <c r="A7">
        <v>4</v>
      </c>
      <c r="B7" s="4">
        <v>10000</v>
      </c>
      <c r="C7" s="9">
        <v>23.466230392456101</v>
      </c>
      <c r="D7" s="9">
        <v>29.501350402831999</v>
      </c>
      <c r="E7" s="9">
        <v>25.092023849487301</v>
      </c>
      <c r="F7" s="7">
        <v>23.757771279719567</v>
      </c>
      <c r="G7" s="9">
        <f t="shared" si="3"/>
        <v>3.5316774936674697</v>
      </c>
      <c r="H7" s="9">
        <f t="shared" si="0"/>
        <v>3.5787277221679972</v>
      </c>
      <c r="I7" s="8">
        <f t="shared" si="1"/>
        <v>3.2448120117188033</v>
      </c>
      <c r="J7" s="8">
        <f t="shared" si="1"/>
        <v>3.5787277221679972</v>
      </c>
      <c r="K7" s="8">
        <f t="shared" si="1"/>
        <v>3.5316774936674697</v>
      </c>
      <c r="L7" s="10">
        <f t="shared" si="2"/>
        <v>3.3599052429199006</v>
      </c>
    </row>
    <row r="8" spans="1:17" x14ac:dyDescent="0.2">
      <c r="A8">
        <v>3</v>
      </c>
      <c r="B8" s="4">
        <v>1000</v>
      </c>
      <c r="C8" s="9">
        <v>26.826135635376001</v>
      </c>
      <c r="D8" s="9">
        <v>32.746162414550803</v>
      </c>
      <c r="E8" s="9">
        <v>28.670751571655298</v>
      </c>
      <c r="F8" s="7">
        <v>27.289448773387036</v>
      </c>
      <c r="G8" s="9">
        <f t="shared" si="3"/>
        <v>2.8470718894757994</v>
      </c>
      <c r="H8" s="9">
        <f t="shared" si="0"/>
        <v>3.1097755432129013</v>
      </c>
      <c r="I8" s="8">
        <f t="shared" si="1"/>
        <v>2.9040451049804972</v>
      </c>
      <c r="J8" s="8">
        <f t="shared" si="1"/>
        <v>3.1097755432129013</v>
      </c>
      <c r="K8" s="8">
        <f t="shared" si="1"/>
        <v>2.8470718894757994</v>
      </c>
      <c r="L8" s="10">
        <f t="shared" si="2"/>
        <v>3.3178100585937003</v>
      </c>
    </row>
    <row r="9" spans="1:17" x14ac:dyDescent="0.2">
      <c r="A9">
        <v>2</v>
      </c>
      <c r="B9" s="4">
        <v>100</v>
      </c>
      <c r="C9" s="9">
        <v>30.143945693969702</v>
      </c>
      <c r="D9" s="9">
        <v>35.6502075195313</v>
      </c>
      <c r="E9" s="9">
        <v>31.7805271148682</v>
      </c>
      <c r="F9" s="7">
        <v>30.136520662862836</v>
      </c>
      <c r="G9" s="9">
        <f>F10-F9</f>
        <v>0.49153349563441395</v>
      </c>
      <c r="H9" s="9">
        <f t="shared" si="0"/>
        <v>3.1177921295166016</v>
      </c>
      <c r="I9" s="8">
        <f t="shared" si="1"/>
        <v>-35.6502075195313</v>
      </c>
      <c r="J9" s="8">
        <f t="shared" si="1"/>
        <v>3.1177921295166016</v>
      </c>
      <c r="K9" s="8">
        <f t="shared" si="1"/>
        <v>0.49153349563441395</v>
      </c>
      <c r="L9" s="10" t="e">
        <f t="shared" si="2"/>
        <v>#VALUE!</v>
      </c>
      <c r="Q9" s="11">
        <v>13093804.300000001</v>
      </c>
    </row>
    <row r="10" spans="1:17" x14ac:dyDescent="0.2">
      <c r="A10">
        <v>1</v>
      </c>
      <c r="B10" s="4">
        <v>10</v>
      </c>
      <c r="C10" s="8" t="s">
        <v>2</v>
      </c>
      <c r="D10" s="9"/>
      <c r="E10" s="9">
        <v>34.898319244384801</v>
      </c>
      <c r="F10" s="7">
        <v>30.62805415849725</v>
      </c>
      <c r="G10" s="1"/>
    </row>
    <row r="11" spans="1:17" x14ac:dyDescent="0.2">
      <c r="A11" s="12" t="s">
        <v>3</v>
      </c>
      <c r="C11" s="8">
        <v>1</v>
      </c>
      <c r="D11" s="8">
        <v>1</v>
      </c>
      <c r="E11" s="8">
        <v>1</v>
      </c>
      <c r="F11">
        <v>1</v>
      </c>
    </row>
    <row r="12" spans="1:17" x14ac:dyDescent="0.2">
      <c r="A12" s="2" t="s">
        <v>4</v>
      </c>
      <c r="C12" s="13" t="s">
        <v>2</v>
      </c>
      <c r="D12" s="9">
        <v>37.356788635253899</v>
      </c>
      <c r="E12" s="8" t="s">
        <v>37</v>
      </c>
      <c r="F12" s="1">
        <v>32.254530924688446</v>
      </c>
      <c r="G12" s="1"/>
    </row>
    <row r="13" spans="1:17" x14ac:dyDescent="0.2">
      <c r="A13" s="2" t="s">
        <v>5</v>
      </c>
      <c r="C13" s="14" cm="1">
        <f t="array" ref="C13">INTERCEPT(C3:C9,LOG($B$3:$B$9))</f>
        <v>37.129588569913601</v>
      </c>
      <c r="D13" s="14" cm="1">
        <f t="array" ref="D13">INTERCEPT(D3:D9,LOG($B$3:$B$9))</f>
        <v>44.971125534602606</v>
      </c>
      <c r="E13" s="14" cm="1">
        <f t="array" ref="E13">INTERCEPT(E3:E10,LOG($B$3:$B$10))</f>
        <v>38.760865041187877</v>
      </c>
      <c r="F13" s="15" cm="1">
        <f t="array" ref="F13">INTERCEPT(F3:F9,LOG($B$3:$B$9))</f>
        <v>36.602048359406581</v>
      </c>
      <c r="G13" s="15"/>
    </row>
    <row r="14" spans="1:17" x14ac:dyDescent="0.2">
      <c r="A14" s="2" t="s">
        <v>6</v>
      </c>
      <c r="C14" s="14" cm="1">
        <f t="array" ref="C14">SLOPE(C4:C9,LOG($B$4:$B$9))</f>
        <v>-3.392598969595777</v>
      </c>
      <c r="D14" s="14" cm="1">
        <f t="array" ref="D14">SLOPE(D3:D9,LOG($B$3:$B$9))</f>
        <v>-4.1164140020098037</v>
      </c>
      <c r="E14" s="14" cm="1">
        <f t="array" ref="E14">SLOPE(E3:E10,LOG($B$3:$B$10))</f>
        <v>-3.488508451552625</v>
      </c>
      <c r="F14" s="15" cm="1">
        <f t="array" ref="F14">SLOPE(F3:F9,LOG($B$3:$B$9))</f>
        <v>-3.1924597870143754</v>
      </c>
      <c r="G14" s="15"/>
      <c r="K14">
        <f>(2.009^(39-19.266))*200*1.627*1.2</f>
        <v>372053047.69568908</v>
      </c>
    </row>
    <row r="15" spans="1:17" x14ac:dyDescent="0.2">
      <c r="A15" s="2" t="s">
        <v>7</v>
      </c>
      <c r="C15" s="16">
        <f>(10^(-1/C14)-1)*100</f>
        <v>97.132972834577245</v>
      </c>
      <c r="D15" s="16">
        <f>(10^(-1/D14)-1)*100</f>
        <v>74.956422556530569</v>
      </c>
      <c r="E15" s="16">
        <f>(10^(-1/E14)-1)*100</f>
        <v>93.4886352873379</v>
      </c>
      <c r="F15" s="17">
        <f>(10^(-1/F14)-1)*100</f>
        <v>105.70179814086784</v>
      </c>
      <c r="G15" s="17"/>
    </row>
    <row r="16" spans="1:17" x14ac:dyDescent="0.2">
      <c r="A16" s="2" t="s">
        <v>8</v>
      </c>
      <c r="C16" s="18">
        <f>10^(-1/C14)</f>
        <v>1.9713297283457725</v>
      </c>
      <c r="D16" s="18">
        <f>10^(-1/D14)</f>
        <v>1.7495642255653057</v>
      </c>
      <c r="E16" s="18">
        <f>10^(-1/E14)</f>
        <v>1.9348863528733791</v>
      </c>
      <c r="F16" s="19">
        <f>10^(-1/F14)</f>
        <v>2.0570179814086784</v>
      </c>
      <c r="G16" s="19"/>
    </row>
    <row r="17" spans="1:7" x14ac:dyDescent="0.2">
      <c r="A17" s="20" t="s">
        <v>9</v>
      </c>
      <c r="C17" s="18" cm="1">
        <f t="array" ref="C17">RSQ(LOG($B$4:$B$9),C4:C9)</f>
        <v>0.99926665479954524</v>
      </c>
      <c r="D17" s="18" cm="1">
        <f t="array" ref="D17">RSQ(LOG($B$4:$B$9),D4:D9)</f>
        <v>0.98915889347836239</v>
      </c>
      <c r="E17" s="18" cm="1">
        <f t="array" ref="E17">RSQ(LOG($B$4:$B$9),E4:E9)</f>
        <v>0.9987154800218272</v>
      </c>
      <c r="F17" s="19" cm="1">
        <f t="array" ref="F17">RSQ(LOG($B$3:$B$9),F3:F9)</f>
        <v>0.99954290724777961</v>
      </c>
      <c r="G17" s="19"/>
    </row>
    <row r="18" spans="1:7" x14ac:dyDescent="0.2">
      <c r="A18" s="2" t="s">
        <v>10</v>
      </c>
      <c r="C18" s="21" t="s">
        <v>11</v>
      </c>
      <c r="D18" s="21"/>
      <c r="E18" s="8"/>
    </row>
    <row r="19" spans="1:7" x14ac:dyDescent="0.2">
      <c r="A19" s="2" t="s">
        <v>12</v>
      </c>
      <c r="C19" s="5" t="s">
        <v>13</v>
      </c>
      <c r="D19" s="5" t="s">
        <v>38</v>
      </c>
      <c r="E19" s="8"/>
    </row>
    <row r="20" spans="1:7" x14ac:dyDescent="0.2">
      <c r="A20" s="2" t="s">
        <v>15</v>
      </c>
      <c r="C20" s="21">
        <v>180205</v>
      </c>
      <c r="D20" s="21"/>
      <c r="E20" s="8"/>
    </row>
    <row r="21" spans="1:7" x14ac:dyDescent="0.2">
      <c r="D21" s="22"/>
    </row>
  </sheetData>
  <conditionalFormatting sqref="C15:G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5228D8983A2D45958CAB991FF0C0A9" ma:contentTypeVersion="13" ma:contentTypeDescription="Create a new document." ma:contentTypeScope="" ma:versionID="4016ea2b23078a421bedfe74adf20f10">
  <xsd:schema xmlns:xsd="http://www.w3.org/2001/XMLSchema" xmlns:xs="http://www.w3.org/2001/XMLSchema" xmlns:p="http://schemas.microsoft.com/office/2006/metadata/properties" xmlns:ns2="f21aa2a3-c014-4f79-aa33-3f02f94222f7" xmlns:ns3="c6a39925-2fff-4fbb-9311-97141df93fe7" targetNamespace="http://schemas.microsoft.com/office/2006/metadata/properties" ma:root="true" ma:fieldsID="a4069556f5c6d2c361a1e87639207d6f" ns2:_="" ns3:_="">
    <xsd:import namespace="f21aa2a3-c014-4f79-aa33-3f02f94222f7"/>
    <xsd:import namespace="c6a39925-2fff-4fbb-9311-97141df93f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1aa2a3-c014-4f79-aa33-3f02f9422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26a1a01-f002-4b1f-9617-625d2f60aa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39925-2fff-4fbb-9311-97141df93fe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43ee9b-6775-4b7e-8c76-ee2d5e8cdd57}" ma:internalName="TaxCatchAll" ma:showField="CatchAllData" ma:web="c6a39925-2fff-4fbb-9311-97141df93f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a39925-2fff-4fbb-9311-97141df93fe7" xsi:nil="true"/>
    <lcf76f155ced4ddcb4097134ff3c332f xmlns="f21aa2a3-c014-4f79-aa33-3f02f94222f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01A08A-1287-4A46-AEF0-76DF701955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1aa2a3-c014-4f79-aa33-3f02f94222f7"/>
    <ds:schemaRef ds:uri="c6a39925-2fff-4fbb-9311-97141df93f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03777C-C00E-478F-8969-373F1B889A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C4C71-2BAD-4FDB-BE4A-D32A98E7CF86}">
  <ds:schemaRefs>
    <ds:schemaRef ds:uri="http://schemas.microsoft.com/office/2006/metadata/properties"/>
    <ds:schemaRef ds:uri="http://schemas.microsoft.com/office/infopath/2007/PartnerControls"/>
    <ds:schemaRef ds:uri="c6a39925-2fff-4fbb-9311-97141df93fe7"/>
    <ds:schemaRef ds:uri="f21aa2a3-c014-4f79-aa33-3f02f94222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curves</vt:lpstr>
      <vt:lpstr>SYBR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Kešnerová</dc:creator>
  <cp:lastModifiedBy>Joanito L.</cp:lastModifiedBy>
  <dcterms:created xsi:type="dcterms:W3CDTF">2018-09-27T11:54:31Z</dcterms:created>
  <dcterms:modified xsi:type="dcterms:W3CDTF">2025-03-13T10:03:29Z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0x010100955228D8983A2D45958CAB991FF0C0A9</vt:lpwstr>
  </property>
</Properties>
</file>